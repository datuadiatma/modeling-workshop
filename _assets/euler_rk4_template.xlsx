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tu/github/modeling-workshop/_assets/"/>
    </mc:Choice>
  </mc:AlternateContent>
  <xr:revisionPtr revIDLastSave="0" documentId="13_ncr:1_{80A2F7E8-9D96-1F4D-9F41-1760AD2B5437}" xr6:coauthVersionLast="47" xr6:coauthVersionMax="47" xr10:uidLastSave="{00000000-0000-0000-0000-000000000000}"/>
  <bookViews>
    <workbookView xWindow="5640" yWindow="-25360" windowWidth="30640" windowHeight="22540" tabRatio="500" xr2:uid="{00000000-000D-0000-FFFF-FFFF00000000}"/>
  </bookViews>
  <sheets>
    <sheet name="Euler_RK4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I5" i="1"/>
  <c r="J5" i="1"/>
  <c r="K5" i="1"/>
  <c r="L5" i="1"/>
  <c r="L4" i="1"/>
  <c r="H4" i="1"/>
  <c r="I4" i="1"/>
  <c r="J4" i="1"/>
  <c r="K4" i="1"/>
  <c r="H3" i="1"/>
  <c r="I3" i="1"/>
  <c r="J3" i="1"/>
  <c r="K3" i="1"/>
  <c r="C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C3" i="1"/>
  <c r="A3" i="1"/>
  <c r="E3" i="1" s="1"/>
  <c r="H2" i="1"/>
  <c r="E2" i="1"/>
  <c r="M2" i="1" s="1"/>
  <c r="C2" i="1"/>
  <c r="A4" i="1" l="1"/>
  <c r="D3" i="1"/>
  <c r="K2" i="1"/>
  <c r="J2" i="1"/>
  <c r="I2" i="1"/>
  <c r="L3" i="1" s="1"/>
  <c r="F2" i="1"/>
  <c r="A5" i="1" l="1"/>
  <c r="E4" i="1"/>
  <c r="A6" i="1" l="1"/>
  <c r="E5" i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000-000003000000}">
      <text>
        <r>
          <rPr>
            <sz val="10"/>
            <color rgb="FF000000"/>
            <rFont val="Arial"/>
            <family val="2"/>
          </rPr>
          <t>Bonus (Exercise 1): Heun's method. G2 = 0, G3 = G2 + B2*(C2 + C3)/2</t>
        </r>
      </text>
    </comment>
    <comment ref="B2" authorId="0" shapeId="0" xr:uid="{00000000-0006-0000-0000-000001000000}">
      <text>
        <r>
          <rPr>
            <sz val="10"/>
            <color rgb="FF000000"/>
            <rFont val="Arial"/>
            <family val="2"/>
          </rPr>
          <t>First row has no previous time. Steps are equal, so we copy dt from the row below.</t>
        </r>
      </text>
    </comment>
    <comment ref="D2" authorId="0" shapeId="0" xr:uid="{00000000-0006-0000-0000-000002000000}">
      <text>
        <r>
          <rPr>
            <sz val="10"/>
            <color rgb="FF000000"/>
            <rFont val="Arial"/>
            <family val="2"/>
          </rPr>
          <t>Initial value y(0) = 0</t>
        </r>
      </text>
    </comment>
    <comment ref="L2" authorId="0" shapeId="0" xr:uid="{00000000-0006-0000-0000-000004000000}">
      <text>
        <r>
          <rPr>
            <sz val="10"/>
            <color rgb="FF000000"/>
            <rFont val="Arial"/>
            <family val="2"/>
          </rPr>
          <t>Initial value y(0) = 0</t>
        </r>
      </text>
    </comment>
  </commentList>
</comments>
</file>

<file path=xl/sharedStrings.xml><?xml version="1.0" encoding="utf-8"?>
<sst xmlns="http://schemas.openxmlformats.org/spreadsheetml/2006/main" count="21" uniqueCount="21">
  <si>
    <t>t</t>
  </si>
  <si>
    <t>dt</t>
  </si>
  <si>
    <t>cos(t)</t>
  </si>
  <si>
    <t>y_euler</t>
  </si>
  <si>
    <t>y_exact</t>
  </si>
  <si>
    <t>error</t>
  </si>
  <si>
    <t>y_improved</t>
  </si>
  <si>
    <t>k1</t>
  </si>
  <si>
    <t>k2</t>
  </si>
  <si>
    <t>k3</t>
  </si>
  <si>
    <t>k4</t>
  </si>
  <si>
    <t>y_rk4</t>
  </si>
  <si>
    <t>error_rk4</t>
  </si>
  <si>
    <t>How to use this sheet</t>
  </si>
  <si>
    <t>Blue cells: provided (time column and the first formula of each column)</t>
  </si>
  <si>
    <t>Yellow cells: fill these in (select the formula cell, drag the corner down to row 22)</t>
  </si>
  <si>
    <t>ODE: dy/dt = cos(t), y(0) = 0, 0 ≤ t ≤ 2π, 20 steps</t>
  </si>
  <si>
    <t>Exercise 1: columns A–F (Forward Euler). Bonus: column G</t>
  </si>
  <si>
    <t>Exercise 2: columns H–M (Runge–Kutta 4)</t>
  </si>
  <si>
    <t>Tip: errors in F and M are shown in scientific notation</t>
  </si>
  <si>
    <t>Plotting is up to you: scatter chart of t vs.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</si>
</sst>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i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3" borderId="1" xfId="0" applyNumberFormat="1" applyFont="1" applyFill="1" applyBorder="1"/>
    <xf numFmtId="11" fontId="2" fillId="3" borderId="1" xfId="0" applyNumberFormat="1" applyFont="1" applyFill="1" applyBorder="1"/>
    <xf numFmtId="164" fontId="2" fillId="4" borderId="1" xfId="0" applyNumberFormat="1" applyFont="1" applyFill="1" applyBorder="1"/>
    <xf numFmtId="0" fontId="0" fillId="3" borderId="1" xfId="0" applyFill="1" applyBorder="1"/>
    <xf numFmtId="0" fontId="2" fillId="0" borderId="0" xfId="0" applyFont="1"/>
    <xf numFmtId="11" fontId="2" fillId="4" borderId="1" xfId="0" applyNumberFormat="1" applyFont="1" applyFill="1" applyBorder="1"/>
    <xf numFmtId="0" fontId="0" fillId="4" borderId="1" xfId="0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Analytical Solution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Euler_RK4!$A$2:$A$22</c:f>
              <c:numCache>
                <c:formatCode>0.0000</c:formatCode>
                <c:ptCount val="21"/>
                <c:pt idx="0">
                  <c:v>0</c:v>
                </c:pt>
                <c:pt idx="1">
                  <c:v>0.35</c:v>
                </c:pt>
                <c:pt idx="2">
                  <c:v>0.7</c:v>
                </c:pt>
                <c:pt idx="3">
                  <c:v>1.0499999999999998</c:v>
                </c:pt>
                <c:pt idx="4">
                  <c:v>1.4</c:v>
                </c:pt>
                <c:pt idx="5">
                  <c:v>1.75</c:v>
                </c:pt>
                <c:pt idx="6">
                  <c:v>2.1</c:v>
                </c:pt>
                <c:pt idx="7">
                  <c:v>2.4500000000000002</c:v>
                </c:pt>
                <c:pt idx="8">
                  <c:v>2.8000000000000003</c:v>
                </c:pt>
                <c:pt idx="9">
                  <c:v>3.1500000000000004</c:v>
                </c:pt>
                <c:pt idx="10">
                  <c:v>3.5000000000000004</c:v>
                </c:pt>
                <c:pt idx="11">
                  <c:v>3.8500000000000005</c:v>
                </c:pt>
                <c:pt idx="12">
                  <c:v>4.2</c:v>
                </c:pt>
                <c:pt idx="13">
                  <c:v>4.55</c:v>
                </c:pt>
                <c:pt idx="14">
                  <c:v>4.8999999999999995</c:v>
                </c:pt>
                <c:pt idx="15">
                  <c:v>5.2499999999999991</c:v>
                </c:pt>
                <c:pt idx="16">
                  <c:v>5.5999999999999988</c:v>
                </c:pt>
                <c:pt idx="17">
                  <c:v>5.9499999999999984</c:v>
                </c:pt>
                <c:pt idx="18">
                  <c:v>6.299999999999998</c:v>
                </c:pt>
                <c:pt idx="19">
                  <c:v>6.6499999999999977</c:v>
                </c:pt>
                <c:pt idx="20">
                  <c:v>6.9999999999999973</c:v>
                </c:pt>
              </c:numCache>
            </c:numRef>
          </c:xVal>
          <c:yVal>
            <c:numRef>
              <c:f>Euler_RK4!$E$2:$E$22</c:f>
              <c:numCache>
                <c:formatCode>0.0000</c:formatCode>
                <c:ptCount val="21"/>
                <c:pt idx="0">
                  <c:v>0</c:v>
                </c:pt>
                <c:pt idx="1">
                  <c:v>0.34289780745545134</c:v>
                </c:pt>
                <c:pt idx="2">
                  <c:v>0.64421768723769102</c:v>
                </c:pt>
                <c:pt idx="3">
                  <c:v>0.86742322559401686</c:v>
                </c:pt>
                <c:pt idx="4">
                  <c:v>0.98544972998846014</c:v>
                </c:pt>
                <c:pt idx="5">
                  <c:v>0.98398594687393692</c:v>
                </c:pt>
                <c:pt idx="6">
                  <c:v>0.86320936664887371</c:v>
                </c:pt>
                <c:pt idx="7">
                  <c:v>0.63776470213450365</c:v>
                </c:pt>
                <c:pt idx="8">
                  <c:v>0.33498815015590466</c:v>
                </c:pt>
                <c:pt idx="9">
                  <c:v>-8.4072473671490625E-3</c:v>
                </c:pt>
                <c:pt idx="10">
                  <c:v>-0.35078322768962028</c:v>
                </c:pt>
                <c:pt idx="11">
                  <c:v>-0.65062513706516767</c:v>
                </c:pt>
                <c:pt idx="12">
                  <c:v>-0.87157577241358819</c:v>
                </c:pt>
                <c:pt idx="13">
                  <c:v>-0.98684385850323653</c:v>
                </c:pt>
                <c:pt idx="14">
                  <c:v>-0.98245261262433259</c:v>
                </c:pt>
                <c:pt idx="15">
                  <c:v>-0.85893449342659245</c:v>
                </c:pt>
                <c:pt idx="16">
                  <c:v>-0.63126663787232229</c:v>
                </c:pt>
                <c:pt idx="17">
                  <c:v>-0.32705481486974231</c:v>
                </c:pt>
                <c:pt idx="18">
                  <c:v>1.6813900484347936E-2</c:v>
                </c:pt>
                <c:pt idx="19">
                  <c:v>0.35864385349279787</c:v>
                </c:pt>
                <c:pt idx="20">
                  <c:v>0.65698659871878706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3A-6C4C-B670-B8F3E09C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569471"/>
        <c:axId val="702715135"/>
      </c:scatterChart>
      <c:scatterChart>
        <c:scatterStyle val="lineMarker"/>
        <c:varyColors val="0"/>
        <c:ser>
          <c:idx val="1"/>
          <c:order val="1"/>
          <c:tx>
            <c:v>Forward Euler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Euler_RK4!$A$2:$A$22</c:f>
              <c:numCache>
                <c:formatCode>0.0000</c:formatCode>
                <c:ptCount val="21"/>
                <c:pt idx="0">
                  <c:v>0</c:v>
                </c:pt>
                <c:pt idx="1">
                  <c:v>0.35</c:v>
                </c:pt>
                <c:pt idx="2">
                  <c:v>0.7</c:v>
                </c:pt>
                <c:pt idx="3">
                  <c:v>1.0499999999999998</c:v>
                </c:pt>
                <c:pt idx="4">
                  <c:v>1.4</c:v>
                </c:pt>
                <c:pt idx="5">
                  <c:v>1.75</c:v>
                </c:pt>
                <c:pt idx="6">
                  <c:v>2.1</c:v>
                </c:pt>
                <c:pt idx="7">
                  <c:v>2.4500000000000002</c:v>
                </c:pt>
                <c:pt idx="8">
                  <c:v>2.8000000000000003</c:v>
                </c:pt>
                <c:pt idx="9">
                  <c:v>3.1500000000000004</c:v>
                </c:pt>
                <c:pt idx="10">
                  <c:v>3.5000000000000004</c:v>
                </c:pt>
                <c:pt idx="11">
                  <c:v>3.8500000000000005</c:v>
                </c:pt>
                <c:pt idx="12">
                  <c:v>4.2</c:v>
                </c:pt>
                <c:pt idx="13">
                  <c:v>4.55</c:v>
                </c:pt>
                <c:pt idx="14">
                  <c:v>4.8999999999999995</c:v>
                </c:pt>
                <c:pt idx="15">
                  <c:v>5.2499999999999991</c:v>
                </c:pt>
                <c:pt idx="16">
                  <c:v>5.5999999999999988</c:v>
                </c:pt>
                <c:pt idx="17">
                  <c:v>5.9499999999999984</c:v>
                </c:pt>
                <c:pt idx="18">
                  <c:v>6.299999999999998</c:v>
                </c:pt>
                <c:pt idx="19">
                  <c:v>6.6499999999999977</c:v>
                </c:pt>
                <c:pt idx="20">
                  <c:v>6.9999999999999973</c:v>
                </c:pt>
              </c:numCache>
            </c:numRef>
          </c:xVal>
          <c:yVal>
            <c:numRef>
              <c:f>Euler_RK4!$D$2:$D$22</c:f>
              <c:numCache>
                <c:formatCode>0.0000</c:formatCode>
                <c:ptCount val="21"/>
                <c:pt idx="0">
                  <c:v>0</c:v>
                </c:pt>
                <c:pt idx="1">
                  <c:v>0.35</c:v>
                </c:pt>
                <c:pt idx="2">
                  <c:v>0.67878044949658256</c:v>
                </c:pt>
                <c:pt idx="3">
                  <c:v>0.94647521504615351</c:v>
                </c:pt>
                <c:pt idx="4">
                  <c:v>1.1206250818082579</c:v>
                </c:pt>
                <c:pt idx="5">
                  <c:v>1.1801135818233424</c:v>
                </c:pt>
                <c:pt idx="6">
                  <c:v>1.1177274623460201</c:v>
                </c:pt>
                <c:pt idx="7">
                  <c:v>0.94103132573606985</c:v>
                </c:pt>
                <c:pt idx="8">
                  <c:v>0.6714503868195123</c:v>
                </c:pt>
                <c:pt idx="9">
                  <c:v>0.34167256758548192</c:v>
                </c:pt>
                <c:pt idx="10">
                  <c:v>-8.3150628794877446E-3</c:v>
                </c:pt>
                <c:pt idx="11">
                  <c:v>-0.33607490343126639</c:v>
                </c:pt>
                <c:pt idx="12">
                  <c:v>-0.60186457412939398</c:v>
                </c:pt>
                <c:pt idx="13">
                  <c:v>-0.77345586159863877</c:v>
                </c:pt>
                <c:pt idx="14">
                  <c:v>-0.83004253732242905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A-6C4C-B670-B8F3E09C01E1}"/>
            </c:ext>
          </c:extLst>
        </c:ser>
        <c:ser>
          <c:idx val="2"/>
          <c:order val="2"/>
          <c:tx>
            <c:v>Runge-Kutta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Euler_RK4!$A$2:$A$22</c:f>
              <c:numCache>
                <c:formatCode>0.0000</c:formatCode>
                <c:ptCount val="21"/>
                <c:pt idx="0">
                  <c:v>0</c:v>
                </c:pt>
                <c:pt idx="1">
                  <c:v>0.35</c:v>
                </c:pt>
                <c:pt idx="2">
                  <c:v>0.7</c:v>
                </c:pt>
                <c:pt idx="3">
                  <c:v>1.0499999999999998</c:v>
                </c:pt>
                <c:pt idx="4">
                  <c:v>1.4</c:v>
                </c:pt>
                <c:pt idx="5">
                  <c:v>1.75</c:v>
                </c:pt>
                <c:pt idx="6">
                  <c:v>2.1</c:v>
                </c:pt>
                <c:pt idx="7">
                  <c:v>2.4500000000000002</c:v>
                </c:pt>
                <c:pt idx="8">
                  <c:v>2.8000000000000003</c:v>
                </c:pt>
                <c:pt idx="9">
                  <c:v>3.1500000000000004</c:v>
                </c:pt>
                <c:pt idx="10">
                  <c:v>3.5000000000000004</c:v>
                </c:pt>
                <c:pt idx="11">
                  <c:v>3.8500000000000005</c:v>
                </c:pt>
                <c:pt idx="12">
                  <c:v>4.2</c:v>
                </c:pt>
                <c:pt idx="13">
                  <c:v>4.55</c:v>
                </c:pt>
                <c:pt idx="14">
                  <c:v>4.8999999999999995</c:v>
                </c:pt>
                <c:pt idx="15">
                  <c:v>5.2499999999999991</c:v>
                </c:pt>
                <c:pt idx="16">
                  <c:v>5.5999999999999988</c:v>
                </c:pt>
                <c:pt idx="17">
                  <c:v>5.9499999999999984</c:v>
                </c:pt>
                <c:pt idx="18">
                  <c:v>6.299999999999998</c:v>
                </c:pt>
                <c:pt idx="19">
                  <c:v>6.6499999999999977</c:v>
                </c:pt>
                <c:pt idx="20">
                  <c:v>6.9999999999999973</c:v>
                </c:pt>
              </c:numCache>
            </c:numRef>
          </c:xVal>
          <c:yVal>
            <c:numRef>
              <c:f>Euler_RK4!$L$2:$L$22</c:f>
              <c:numCache>
                <c:formatCode>0.0000</c:formatCode>
                <c:ptCount val="21"/>
                <c:pt idx="0">
                  <c:v>0</c:v>
                </c:pt>
                <c:pt idx="1">
                  <c:v>0.34289960066058151</c:v>
                </c:pt>
                <c:pt idx="2">
                  <c:v>0.64422105621362669</c:v>
                </c:pt>
                <c:pt idx="3">
                  <c:v>0.86742776183701509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A-6C4C-B670-B8F3E09C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569471"/>
        <c:axId val="702715135"/>
      </c:scatterChart>
      <c:valAx>
        <c:axId val="70256947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15135"/>
        <c:crossesAt val="-1.5"/>
        <c:crossBetween val="midCat"/>
      </c:valAx>
      <c:valAx>
        <c:axId val="7027151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69471"/>
        <c:crossesAt val="-1.5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397932</xdr:colOff>
      <xdr:row>31</xdr:row>
      <xdr:rowOff>105834</xdr:rowOff>
    </xdr:from>
    <xdr:to>
      <xdr:col>10</xdr:col>
      <xdr:colOff>220133</xdr:colOff>
      <xdr:row>47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5C3D5E-BC7F-E3B1-A206-C269E692A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150" zoomScaleNormal="150" workbookViewId="0">
      <pane ySplit="1" topLeftCell="A22" activePane="bottomLeft" state="frozen"/>
      <selection pane="bottomLeft" activeCell="H53" sqref="H53"/>
    </sheetView>
  </sheetViews>
  <sheetFormatPr baseColWidth="10" defaultColWidth="8.6640625" defaultRowHeight="15" x14ac:dyDescent="0.2"/>
  <cols>
    <col min="1" max="3" width="9" customWidth="1"/>
    <col min="4" max="5" width="10" customWidth="1"/>
    <col min="6" max="7" width="11" customWidth="1"/>
    <col min="8" max="11" width="9" customWidth="1"/>
    <col min="12" max="12" width="10" customWidth="1"/>
    <col min="13" max="13" width="11" customWidth="1"/>
    <col min="14" max="14" width="3" customWidth="1"/>
    <col min="15" max="15" width="70" customWidth="1"/>
  </cols>
  <sheetData>
    <row r="1" spans="1: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O1" s="1" t="s">
        <v>13</v>
      </c>
    </row>
    <row r="2" spans="1:15" x14ac:dyDescent="0.2">
      <c r="A2" s="2">
        <v>0</v>
      </c>
      <c r="B2" s="2">
        <v>0.35</v>
      </c>
      <c r="C2" s="2">
        <f>COS(A2)</f>
        <v>1</v>
      </c>
      <c r="D2" s="2">
        <v>0</v>
      </c>
      <c r="E2" s="2">
        <f>SIN(A2)</f>
        <v>0</v>
      </c>
      <c r="F2" s="3">
        <f>D2-E2</f>
        <v>0</v>
      </c>
      <c r="G2" s="4"/>
      <c r="H2" s="2">
        <f>COS(A2)</f>
        <v>1</v>
      </c>
      <c r="I2" s="2">
        <f>COS(A2+B2/2)</f>
        <v>0.98472653890493345</v>
      </c>
      <c r="J2" s="2">
        <f>COS(A2+B2/2)</f>
        <v>0.98472653890493345</v>
      </c>
      <c r="K2" s="2">
        <f>COS(A2+B2)</f>
        <v>0.93937271284737889</v>
      </c>
      <c r="L2" s="2">
        <v>0</v>
      </c>
      <c r="M2" s="3">
        <f>L2-E2</f>
        <v>0</v>
      </c>
      <c r="N2" s="5"/>
      <c r="O2" s="6" t="s">
        <v>14</v>
      </c>
    </row>
    <row r="3" spans="1:15" x14ac:dyDescent="0.2">
      <c r="A3" s="2">
        <f>A2+B2</f>
        <v>0.35</v>
      </c>
      <c r="B3" s="2">
        <v>0.35</v>
      </c>
      <c r="C3" s="2">
        <f t="shared" ref="C3:C15" si="0">COS(A3)</f>
        <v>0.93937271284737889</v>
      </c>
      <c r="D3" s="2">
        <f>D2+B2*C2</f>
        <v>0.35</v>
      </c>
      <c r="E3" s="2">
        <f t="shared" ref="E3:E22" si="1">SIN(A3)</f>
        <v>0.34289780745545134</v>
      </c>
      <c r="F3" s="7"/>
      <c r="G3" s="4"/>
      <c r="H3" s="2">
        <f>COS(A3)</f>
        <v>0.93937271284737889</v>
      </c>
      <c r="I3" s="2">
        <f>COS(A3+B3/2)</f>
        <v>0.86532394162294135</v>
      </c>
      <c r="J3" s="2">
        <f>COS(A3+B3/2)</f>
        <v>0.86532394162294135</v>
      </c>
      <c r="K3" s="2">
        <f>COS(A3+B3)</f>
        <v>0.7648421872844885</v>
      </c>
      <c r="L3" s="2">
        <f>L2+B2/6*(H2+2*I2+2*J2+K2)</f>
        <v>0.34289960066058151</v>
      </c>
      <c r="M3" s="7"/>
      <c r="N3" s="8"/>
      <c r="O3" s="6" t="s">
        <v>15</v>
      </c>
    </row>
    <row r="4" spans="1:15" x14ac:dyDescent="0.2">
      <c r="A4" s="2">
        <f>A3+B3</f>
        <v>0.7</v>
      </c>
      <c r="B4" s="2">
        <v>0.35</v>
      </c>
      <c r="C4" s="2">
        <f t="shared" ref="C4:C16" si="2">COS(A4)</f>
        <v>0.7648421872844885</v>
      </c>
      <c r="D4" s="2">
        <f t="shared" ref="D4:D16" si="3">D3+B3*C3</f>
        <v>0.67878044949658256</v>
      </c>
      <c r="E4" s="2">
        <f t="shared" si="1"/>
        <v>0.64421768723769102</v>
      </c>
      <c r="F4" s="7"/>
      <c r="G4" s="4"/>
      <c r="H4" s="2">
        <f>COS(A4)</f>
        <v>0.7648421872844885</v>
      </c>
      <c r="I4" s="2">
        <f>COS(A4+B4/2)</f>
        <v>0.64099685816332508</v>
      </c>
      <c r="J4" s="2">
        <f>COS(A4+B4/2)</f>
        <v>0.64099685816332508</v>
      </c>
      <c r="K4" s="2">
        <f>COS(A4+B4)</f>
        <v>0.49757104789172713</v>
      </c>
      <c r="L4" s="2">
        <f>L3+B3/6*(H3+2*I3+2*J3+K3)</f>
        <v>0.64422105621362669</v>
      </c>
      <c r="M4" s="7"/>
      <c r="O4" s="6"/>
    </row>
    <row r="5" spans="1:15" x14ac:dyDescent="0.2">
      <c r="A5" s="2">
        <f t="shared" ref="A5:A22" si="4">A4+B4</f>
        <v>1.0499999999999998</v>
      </c>
      <c r="B5" s="2">
        <v>0.35</v>
      </c>
      <c r="C5" s="2">
        <f t="shared" si="2"/>
        <v>0.49757104789172713</v>
      </c>
      <c r="D5" s="2">
        <f t="shared" si="3"/>
        <v>0.94647521504615351</v>
      </c>
      <c r="E5" s="2">
        <f t="shared" si="1"/>
        <v>0.86742322559401686</v>
      </c>
      <c r="F5" s="7"/>
      <c r="G5" s="4"/>
      <c r="H5" s="2">
        <f>COS(A5)</f>
        <v>0.49757104789172713</v>
      </c>
      <c r="I5" s="2">
        <f>COS(A5+B5/2)</f>
        <v>0.33894597353611744</v>
      </c>
      <c r="J5" s="2">
        <f>COS(A5+B5/2)</f>
        <v>0.33894597353611744</v>
      </c>
      <c r="K5" s="2">
        <f>COS(A5+B5)</f>
        <v>0.16996714290024104</v>
      </c>
      <c r="L5" s="2">
        <f>L4+B4/6*(H4+2*I4+2*J4+K4)</f>
        <v>0.86742776183701509</v>
      </c>
      <c r="M5" s="7"/>
      <c r="O5" s="6" t="s">
        <v>16</v>
      </c>
    </row>
    <row r="6" spans="1:15" x14ac:dyDescent="0.2">
      <c r="A6" s="2">
        <f t="shared" si="4"/>
        <v>1.4</v>
      </c>
      <c r="B6" s="2">
        <v>0.35</v>
      </c>
      <c r="C6" s="2">
        <f t="shared" si="2"/>
        <v>0.16996714290024104</v>
      </c>
      <c r="D6" s="2">
        <f t="shared" si="3"/>
        <v>1.1206250818082579</v>
      </c>
      <c r="E6" s="2">
        <f t="shared" si="1"/>
        <v>0.98544972998846014</v>
      </c>
      <c r="F6" s="7"/>
      <c r="G6" s="4"/>
      <c r="H6" s="4"/>
      <c r="I6" s="4"/>
      <c r="J6" s="4"/>
      <c r="K6" s="4"/>
      <c r="L6" s="4"/>
      <c r="M6" s="7"/>
      <c r="O6" s="6" t="s">
        <v>17</v>
      </c>
    </row>
    <row r="7" spans="1:15" x14ac:dyDescent="0.2">
      <c r="A7" s="2">
        <f t="shared" si="4"/>
        <v>1.75</v>
      </c>
      <c r="B7" s="2">
        <v>0.35</v>
      </c>
      <c r="C7" s="2">
        <f t="shared" si="2"/>
        <v>-0.17824605564949209</v>
      </c>
      <c r="D7" s="2">
        <f t="shared" si="3"/>
        <v>1.1801135818233424</v>
      </c>
      <c r="E7" s="2">
        <f t="shared" si="1"/>
        <v>0.98398594687393692</v>
      </c>
      <c r="F7" s="7"/>
      <c r="G7" s="4"/>
      <c r="H7" s="4"/>
      <c r="I7" s="4"/>
      <c r="J7" s="4"/>
      <c r="K7" s="4"/>
      <c r="L7" s="4"/>
      <c r="M7" s="7"/>
      <c r="O7" s="6" t="s">
        <v>18</v>
      </c>
    </row>
    <row r="8" spans="1:15" x14ac:dyDescent="0.2">
      <c r="A8" s="2">
        <f t="shared" si="4"/>
        <v>2.1</v>
      </c>
      <c r="B8" s="2">
        <v>0.35</v>
      </c>
      <c r="C8" s="2">
        <f t="shared" si="2"/>
        <v>-0.50484610459985757</v>
      </c>
      <c r="D8" s="2">
        <f t="shared" si="3"/>
        <v>1.1177274623460201</v>
      </c>
      <c r="E8" s="2">
        <f t="shared" si="1"/>
        <v>0.86320936664887371</v>
      </c>
      <c r="F8" s="7"/>
      <c r="G8" s="4"/>
      <c r="H8" s="4"/>
      <c r="I8" s="4"/>
      <c r="J8" s="4"/>
      <c r="K8" s="4"/>
      <c r="L8" s="4"/>
      <c r="M8" s="7"/>
      <c r="O8" s="6" t="s">
        <v>19</v>
      </c>
    </row>
    <row r="9" spans="1:15" x14ac:dyDescent="0.2">
      <c r="A9" s="2">
        <f t="shared" si="4"/>
        <v>2.4500000000000002</v>
      </c>
      <c r="B9" s="2">
        <v>0.35</v>
      </c>
      <c r="C9" s="2">
        <f t="shared" si="2"/>
        <v>-0.77023125404730741</v>
      </c>
      <c r="D9" s="2">
        <f t="shared" si="3"/>
        <v>0.94103132573606985</v>
      </c>
      <c r="E9" s="2">
        <f t="shared" si="1"/>
        <v>0.63776470213450365</v>
      </c>
      <c r="F9" s="7"/>
      <c r="G9" s="4"/>
      <c r="H9" s="4"/>
      <c r="I9" s="4"/>
      <c r="J9" s="4"/>
      <c r="K9" s="4"/>
      <c r="L9" s="4"/>
      <c r="M9" s="7"/>
      <c r="O9" s="6" t="s">
        <v>20</v>
      </c>
    </row>
    <row r="10" spans="1:15" x14ac:dyDescent="0.2">
      <c r="A10" s="2">
        <f t="shared" si="4"/>
        <v>2.8000000000000003</v>
      </c>
      <c r="B10" s="2">
        <v>0.35</v>
      </c>
      <c r="C10" s="2">
        <f t="shared" si="2"/>
        <v>-0.94222234066865829</v>
      </c>
      <c r="D10" s="2">
        <f t="shared" si="3"/>
        <v>0.6714503868195123</v>
      </c>
      <c r="E10" s="2">
        <f t="shared" si="1"/>
        <v>0.33498815015590466</v>
      </c>
      <c r="F10" s="7"/>
      <c r="G10" s="4"/>
      <c r="H10" s="4"/>
      <c r="I10" s="4"/>
      <c r="J10" s="4"/>
      <c r="K10" s="4"/>
      <c r="L10" s="4"/>
      <c r="M10" s="7"/>
    </row>
    <row r="11" spans="1:15" x14ac:dyDescent="0.2">
      <c r="A11" s="2">
        <f t="shared" si="4"/>
        <v>3.1500000000000004</v>
      </c>
      <c r="B11" s="2">
        <v>0.35</v>
      </c>
      <c r="C11" s="2">
        <f t="shared" si="2"/>
        <v>-0.99996465847134197</v>
      </c>
      <c r="D11" s="2">
        <f t="shared" si="3"/>
        <v>0.34167256758548192</v>
      </c>
      <c r="E11" s="2">
        <f t="shared" si="1"/>
        <v>-8.4072473671490625E-3</v>
      </c>
      <c r="F11" s="7"/>
      <c r="G11" s="4"/>
      <c r="H11" s="4"/>
      <c r="I11" s="4"/>
      <c r="J11" s="4"/>
      <c r="K11" s="4"/>
      <c r="L11" s="4"/>
      <c r="M11" s="7"/>
    </row>
    <row r="12" spans="1:15" x14ac:dyDescent="0.2">
      <c r="A12" s="2">
        <f t="shared" si="4"/>
        <v>3.5000000000000004</v>
      </c>
      <c r="B12" s="2">
        <v>0.35</v>
      </c>
      <c r="C12" s="2">
        <f t="shared" si="2"/>
        <v>-0.93645668729079623</v>
      </c>
      <c r="D12" s="2">
        <f t="shared" si="3"/>
        <v>-8.3150628794877446E-3</v>
      </c>
      <c r="E12" s="2">
        <f t="shared" si="1"/>
        <v>-0.35078322768962028</v>
      </c>
      <c r="F12" s="7"/>
      <c r="G12" s="4"/>
      <c r="H12" s="4"/>
      <c r="I12" s="4"/>
      <c r="J12" s="4"/>
      <c r="K12" s="4"/>
      <c r="L12" s="4"/>
      <c r="M12" s="7"/>
    </row>
    <row r="13" spans="1:15" x14ac:dyDescent="0.2">
      <c r="A13" s="2">
        <f t="shared" si="4"/>
        <v>3.8500000000000005</v>
      </c>
      <c r="B13" s="2">
        <v>0.35</v>
      </c>
      <c r="C13" s="2">
        <f t="shared" si="2"/>
        <v>-0.7593990591375076</v>
      </c>
      <c r="D13" s="2">
        <f t="shared" si="3"/>
        <v>-0.33607490343126639</v>
      </c>
      <c r="E13" s="2">
        <f t="shared" si="1"/>
        <v>-0.65062513706516767</v>
      </c>
      <c r="F13" s="7"/>
      <c r="G13" s="4"/>
      <c r="H13" s="4"/>
      <c r="I13" s="4"/>
      <c r="J13" s="4"/>
      <c r="K13" s="4"/>
      <c r="L13" s="4"/>
      <c r="M13" s="7"/>
    </row>
    <row r="14" spans="1:15" x14ac:dyDescent="0.2">
      <c r="A14" s="2">
        <f t="shared" si="4"/>
        <v>4.2</v>
      </c>
      <c r="B14" s="2">
        <v>0.35</v>
      </c>
      <c r="C14" s="2">
        <f t="shared" si="2"/>
        <v>-0.49026082134069943</v>
      </c>
      <c r="D14" s="2">
        <f t="shared" si="3"/>
        <v>-0.60186457412939398</v>
      </c>
      <c r="E14" s="2">
        <f t="shared" si="1"/>
        <v>-0.87157577241358819</v>
      </c>
      <c r="F14" s="7"/>
      <c r="G14" s="4"/>
      <c r="H14" s="4"/>
      <c r="I14" s="4"/>
      <c r="J14" s="4"/>
      <c r="K14" s="4"/>
      <c r="L14" s="4"/>
      <c r="M14" s="7"/>
    </row>
    <row r="15" spans="1:15" x14ac:dyDescent="0.2">
      <c r="A15" s="2">
        <f t="shared" si="4"/>
        <v>4.55</v>
      </c>
      <c r="B15" s="2">
        <v>0.35</v>
      </c>
      <c r="C15" s="2">
        <f t="shared" si="2"/>
        <v>-0.16167621635368651</v>
      </c>
      <c r="D15" s="2">
        <f t="shared" si="3"/>
        <v>-0.77345586159863877</v>
      </c>
      <c r="E15" s="2">
        <f t="shared" si="1"/>
        <v>-0.98684385850323653</v>
      </c>
      <c r="F15" s="7"/>
      <c r="G15" s="4"/>
      <c r="H15" s="4"/>
      <c r="I15" s="4"/>
      <c r="J15" s="4"/>
      <c r="K15" s="4"/>
      <c r="L15" s="4"/>
      <c r="M15" s="7"/>
    </row>
    <row r="16" spans="1:15" x14ac:dyDescent="0.2">
      <c r="A16" s="2">
        <f t="shared" si="4"/>
        <v>4.8999999999999995</v>
      </c>
      <c r="B16" s="2">
        <v>0.35</v>
      </c>
      <c r="C16" s="2">
        <f t="shared" si="2"/>
        <v>0.18651236942257488</v>
      </c>
      <c r="D16" s="2">
        <f t="shared" si="3"/>
        <v>-0.83004253732242905</v>
      </c>
      <c r="E16" s="2">
        <f t="shared" si="1"/>
        <v>-0.98245261262433259</v>
      </c>
      <c r="F16" s="7"/>
      <c r="G16" s="4"/>
      <c r="H16" s="4"/>
      <c r="I16" s="4"/>
      <c r="J16" s="4"/>
      <c r="K16" s="4"/>
      <c r="L16" s="4"/>
      <c r="M16" s="7"/>
    </row>
    <row r="17" spans="1:13" x14ac:dyDescent="0.2">
      <c r="A17" s="2">
        <f t="shared" si="4"/>
        <v>5.2499999999999991</v>
      </c>
      <c r="B17" s="2">
        <v>0.35</v>
      </c>
      <c r="C17" s="4"/>
      <c r="D17" s="4"/>
      <c r="E17" s="2">
        <f t="shared" si="1"/>
        <v>-0.85893449342659245</v>
      </c>
      <c r="F17" s="7"/>
      <c r="G17" s="4"/>
      <c r="H17" s="4"/>
      <c r="I17" s="4"/>
      <c r="J17" s="4"/>
      <c r="K17" s="4"/>
      <c r="L17" s="4"/>
      <c r="M17" s="7"/>
    </row>
    <row r="18" spans="1:13" x14ac:dyDescent="0.2">
      <c r="A18" s="2">
        <f t="shared" si="4"/>
        <v>5.5999999999999988</v>
      </c>
      <c r="B18" s="2">
        <v>0.35</v>
      </c>
      <c r="C18" s="4"/>
      <c r="D18" s="4"/>
      <c r="E18" s="2">
        <f t="shared" si="1"/>
        <v>-0.63126663787232229</v>
      </c>
      <c r="F18" s="7"/>
      <c r="G18" s="4"/>
      <c r="H18" s="4"/>
      <c r="I18" s="4"/>
      <c r="J18" s="4"/>
      <c r="K18" s="4"/>
      <c r="L18" s="4"/>
      <c r="M18" s="7"/>
    </row>
    <row r="19" spans="1:13" x14ac:dyDescent="0.2">
      <c r="A19" s="2">
        <f t="shared" si="4"/>
        <v>5.9499999999999984</v>
      </c>
      <c r="B19" s="2">
        <v>0.35</v>
      </c>
      <c r="C19" s="4"/>
      <c r="D19" s="4"/>
      <c r="E19" s="2">
        <f t="shared" si="1"/>
        <v>-0.32705481486974231</v>
      </c>
      <c r="F19" s="7"/>
      <c r="G19" s="4"/>
      <c r="H19" s="4"/>
      <c r="I19" s="4"/>
      <c r="J19" s="4"/>
      <c r="K19" s="4"/>
      <c r="L19" s="4"/>
      <c r="M19" s="7"/>
    </row>
    <row r="20" spans="1:13" x14ac:dyDescent="0.2">
      <c r="A20" s="2">
        <f t="shared" si="4"/>
        <v>6.299999999999998</v>
      </c>
      <c r="B20" s="2">
        <v>0.35</v>
      </c>
      <c r="C20" s="4"/>
      <c r="D20" s="4"/>
      <c r="E20" s="2">
        <f t="shared" si="1"/>
        <v>1.6813900484347936E-2</v>
      </c>
      <c r="F20" s="7"/>
      <c r="G20" s="4"/>
      <c r="H20" s="4"/>
      <c r="I20" s="4"/>
      <c r="J20" s="4"/>
      <c r="K20" s="4"/>
      <c r="L20" s="4"/>
      <c r="M20" s="7"/>
    </row>
    <row r="21" spans="1:13" x14ac:dyDescent="0.2">
      <c r="A21" s="2">
        <f t="shared" si="4"/>
        <v>6.6499999999999977</v>
      </c>
      <c r="B21" s="2">
        <v>0.35</v>
      </c>
      <c r="C21" s="4"/>
      <c r="D21" s="4"/>
      <c r="E21" s="2">
        <f t="shared" si="1"/>
        <v>0.35864385349279787</v>
      </c>
      <c r="F21" s="7"/>
      <c r="G21" s="4"/>
      <c r="H21" s="4"/>
      <c r="I21" s="4"/>
      <c r="J21" s="4"/>
      <c r="K21" s="4"/>
      <c r="L21" s="4"/>
      <c r="M21" s="7"/>
    </row>
    <row r="22" spans="1:13" x14ac:dyDescent="0.2">
      <c r="A22" s="2">
        <f t="shared" si="4"/>
        <v>6.9999999999999973</v>
      </c>
      <c r="B22" s="2">
        <v>0.35</v>
      </c>
      <c r="C22" s="4"/>
      <c r="D22" s="4"/>
      <c r="E22" s="2">
        <f t="shared" si="1"/>
        <v>0.65698659871878706</v>
      </c>
      <c r="F22" s="7"/>
      <c r="G22" s="4"/>
      <c r="H22" s="4"/>
      <c r="I22" s="4"/>
      <c r="J22" s="4"/>
      <c r="K22" s="4"/>
      <c r="L22" s="4"/>
      <c r="M22" s="7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Euler_RK4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Adiatma, Datu</cp:lastModifiedBy>
  <cp:revision>0</cp:revision>
  <dcterms:created xsi:type="dcterms:W3CDTF">2026-09-11T03:10:59Z</dcterms:created>
  <dcterms:modified xsi:type="dcterms:W3CDTF">2026-09-11T03:28:42Z</dcterms:modified>
  <dc:language>en-US</dc:language>
</cp:coreProperties>
</file>